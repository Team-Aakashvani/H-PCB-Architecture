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28" customWidth="1" min="3" max="3"/>
    <col width="13" customWidth="1" min="4" max="4"/>
    <col width="19" customWidth="1" min="5" max="5"/>
    <col width="20" customWidth="1" min="6" max="6"/>
    <col width="16" customWidth="1" min="7" max="7"/>
    <col width="32" customWidth="1" min="8" max="8"/>
    <col width="17" customWidth="1" min="9" max="9"/>
    <col width="20" customWidth="1" min="10" max="10"/>
  </cols>
  <sheetData>
    <row r="1">
      <c r="A1" s="1" t="inlineStr">
        <is>
          <t>Battery Pack</t>
        </is>
      </c>
      <c r="B1" s="1" t="inlineStr">
        <is>
          <t>Subsystem</t>
        </is>
      </c>
      <c r="C1" s="1" t="inlineStr">
        <is>
          <t>Component</t>
        </is>
      </c>
      <c r="D1" s="1" t="inlineStr">
        <is>
          <t>Voltage (V)</t>
        </is>
      </c>
      <c r="E1" s="1" t="inlineStr">
        <is>
          <t>Peak Current (mA)</t>
        </is>
      </c>
      <c r="F1" s="1" t="inlineStr">
        <is>
          <t>Sleep Current (mA)</t>
        </is>
      </c>
      <c r="G1" s="1" t="inlineStr">
        <is>
          <t>Duty Cycle (%)</t>
        </is>
      </c>
      <c r="H1" s="1" t="inlineStr">
        <is>
          <t>Average Current (mA)</t>
        </is>
      </c>
      <c r="I1" s="1" t="inlineStr">
        <is>
          <t>Peak Power (mW)</t>
        </is>
      </c>
      <c r="J1" s="1" t="inlineStr">
        <is>
          <t>Average Power (mW)</t>
        </is>
      </c>
    </row>
    <row r="2">
      <c r="A2" t="inlineStr">
        <is>
          <t>Pack A</t>
        </is>
      </c>
      <c r="B2" t="inlineStr">
        <is>
          <t>Avionics</t>
        </is>
      </c>
      <c r="C2" t="inlineStr">
        <is>
          <t>ESP32-S3 (Flight Comp)</t>
        </is>
      </c>
      <c r="D2" t="n">
        <v>3.3</v>
      </c>
      <c r="E2" t="n">
        <v>300</v>
      </c>
      <c r="F2" t="n">
        <v>0.01</v>
      </c>
      <c r="G2" t="n">
        <v>100</v>
      </c>
      <c r="H2">
        <f>E2*(G2/100)+F2*(1-G2/100)</f>
        <v/>
      </c>
      <c r="I2">
        <f>D2*E2</f>
        <v/>
      </c>
      <c r="J2">
        <f>D2*H2</f>
        <v/>
      </c>
    </row>
    <row r="3">
      <c r="A3" t="inlineStr">
        <is>
          <t>Pack A</t>
        </is>
      </c>
      <c r="B3" t="inlineStr">
        <is>
          <t>Avionics</t>
        </is>
      </c>
      <c r="C3" t="inlineStr">
        <is>
          <t>XBee 3 Pro (Primary Radio)</t>
        </is>
      </c>
      <c r="D3" t="n">
        <v>3.3</v>
      </c>
      <c r="E3" t="n">
        <v>135</v>
      </c>
      <c r="F3" t="n">
        <v>15</v>
      </c>
      <c r="G3" t="n">
        <v>20</v>
      </c>
      <c r="H3">
        <f>E3*(G3/100)+F3*(1-G3/100)</f>
        <v/>
      </c>
      <c r="I3">
        <f>D3*E3</f>
        <v/>
      </c>
      <c r="J3">
        <f>D3*H3</f>
        <v/>
      </c>
    </row>
    <row r="4">
      <c r="A4" t="inlineStr">
        <is>
          <t>Pack A</t>
        </is>
      </c>
      <c r="B4" t="inlineStr">
        <is>
          <t>Avionics</t>
        </is>
      </c>
      <c r="C4" t="inlineStr">
        <is>
          <t>CC1101 (Backup Radio)</t>
        </is>
      </c>
      <c r="D4" t="n">
        <v>3.3</v>
      </c>
      <c r="E4" t="n">
        <v>30</v>
      </c>
      <c r="F4" t="n">
        <v>0.002</v>
      </c>
      <c r="G4" t="n">
        <v>5</v>
      </c>
      <c r="H4">
        <f>E4*(G4/100)+F4*(1-G4/100)</f>
        <v/>
      </c>
      <c r="I4">
        <f>D4*E4</f>
        <v/>
      </c>
      <c r="J4">
        <f>D4*H4</f>
        <v/>
      </c>
    </row>
    <row r="5">
      <c r="A5" t="inlineStr">
        <is>
          <t>Pack A</t>
        </is>
      </c>
      <c r="B5" t="inlineStr">
        <is>
          <t>Avionics</t>
        </is>
      </c>
      <c r="C5" t="inlineStr">
        <is>
          <t>Edgehax NavIC (GNSS)</t>
        </is>
      </c>
      <c r="D5" t="n">
        <v>3.3</v>
      </c>
      <c r="E5" t="n">
        <v>40</v>
      </c>
      <c r="F5" t="n">
        <v>5</v>
      </c>
      <c r="G5" t="n">
        <v>100</v>
      </c>
      <c r="H5">
        <f>E5*(G5/100)+F5*(1-G5/100)</f>
        <v/>
      </c>
      <c r="I5">
        <f>D5*E5</f>
        <v/>
      </c>
      <c r="J5">
        <f>D5*H5</f>
        <v/>
      </c>
    </row>
    <row r="6">
      <c r="A6" t="inlineStr">
        <is>
          <t>Pack A</t>
        </is>
      </c>
      <c r="B6" t="inlineStr">
        <is>
          <t>Avionics</t>
        </is>
      </c>
      <c r="C6" t="inlineStr">
        <is>
          <t>microSD Card</t>
        </is>
      </c>
      <c r="D6" t="n">
        <v>3.3</v>
      </c>
      <c r="E6" t="n">
        <v>100</v>
      </c>
      <c r="F6" t="n">
        <v>1</v>
      </c>
      <c r="G6" t="n">
        <v>10</v>
      </c>
      <c r="H6">
        <f>E6*(G6/100)+F6*(1-G6/100)</f>
        <v/>
      </c>
      <c r="I6">
        <f>D6*E6</f>
        <v/>
      </c>
      <c r="J6">
        <f>D6*H6</f>
        <v/>
      </c>
    </row>
    <row r="7">
      <c r="A7" t="inlineStr">
        <is>
          <t>Pack A</t>
        </is>
      </c>
      <c r="B7" t="inlineStr">
        <is>
          <t>Sensors</t>
        </is>
      </c>
      <c r="C7" t="inlineStr">
        <is>
          <t>BMP585 (Altimeter)</t>
        </is>
      </c>
      <c r="D7" t="n">
        <v>3.3</v>
      </c>
      <c r="E7" t="n">
        <v>1.3</v>
      </c>
      <c r="F7" t="n">
        <v>0.002</v>
      </c>
      <c r="G7" t="n">
        <v>100</v>
      </c>
      <c r="H7">
        <f>E7*(G7/100)+F7*(1-G7/100)</f>
        <v/>
      </c>
      <c r="I7">
        <f>D7*E7</f>
        <v/>
      </c>
      <c r="J7">
        <f>D7*H7</f>
        <v/>
      </c>
    </row>
    <row r="8">
      <c r="A8" t="inlineStr">
        <is>
          <t>Pack A</t>
        </is>
      </c>
      <c r="B8" t="inlineStr">
        <is>
          <t>Sensors</t>
        </is>
      </c>
      <c r="C8" t="inlineStr">
        <is>
          <t>BNO085 (IMU)</t>
        </is>
      </c>
      <c r="D8" t="n">
        <v>3.3</v>
      </c>
      <c r="E8" t="n">
        <v>18</v>
      </c>
      <c r="F8" t="n">
        <v>0.5</v>
      </c>
      <c r="G8" t="n">
        <v>100</v>
      </c>
      <c r="H8">
        <f>E8*(G8/100)+F8*(1-G8/100)</f>
        <v/>
      </c>
      <c r="I8">
        <f>D8*E8</f>
        <v/>
      </c>
      <c r="J8">
        <f>D8*H8</f>
        <v/>
      </c>
    </row>
    <row r="9">
      <c r="A9" t="inlineStr">
        <is>
          <t>Pack A</t>
        </is>
      </c>
      <c r="B9" t="inlineStr">
        <is>
          <t>Sensors</t>
        </is>
      </c>
      <c r="C9" t="inlineStr">
        <is>
          <t>SHT4x (Temp/RH)</t>
        </is>
      </c>
      <c r="D9" t="n">
        <v>3.3</v>
      </c>
      <c r="E9" t="n">
        <v>0.4</v>
      </c>
      <c r="F9" t="n">
        <v>0.001</v>
      </c>
      <c r="G9" t="n">
        <v>100</v>
      </c>
      <c r="H9">
        <f>E9*(G9/100)+F9*(1-G9/100)</f>
        <v/>
      </c>
      <c r="I9">
        <f>D9*E9</f>
        <v/>
      </c>
      <c r="J9">
        <f>D9*H9</f>
        <v/>
      </c>
    </row>
    <row r="10">
      <c r="A10" t="inlineStr">
        <is>
          <t>Pack A</t>
        </is>
      </c>
      <c r="B10" t="inlineStr">
        <is>
          <t>Sensors</t>
        </is>
      </c>
      <c r="C10" t="inlineStr">
        <is>
          <t>SGP41 (VOC/NOx)</t>
        </is>
      </c>
      <c r="D10" t="n">
        <v>3.3</v>
      </c>
      <c r="E10" t="n">
        <v>3.2</v>
      </c>
      <c r="F10" t="n">
        <v>0.05</v>
      </c>
      <c r="G10" t="n">
        <v>100</v>
      </c>
      <c r="H10">
        <f>E10*(G10/100)+F10*(1-G10/100)</f>
        <v/>
      </c>
      <c r="I10">
        <f>D10*E10</f>
        <v/>
      </c>
      <c r="J10">
        <f>D10*H10</f>
        <v/>
      </c>
    </row>
    <row r="11">
      <c r="A11" t="inlineStr">
        <is>
          <t>Pack A</t>
        </is>
      </c>
      <c r="B11" t="inlineStr">
        <is>
          <t>Sensors</t>
        </is>
      </c>
      <c r="C11" t="inlineStr">
        <is>
          <t>Pitot DP Sensor</t>
        </is>
      </c>
      <c r="D11" t="n">
        <v>3.3</v>
      </c>
      <c r="E11" t="n">
        <v>5</v>
      </c>
      <c r="F11" t="n">
        <v>0.01</v>
      </c>
      <c r="G11" t="n">
        <v>100</v>
      </c>
      <c r="H11">
        <f>E11*(G11/100)+F11*(1-G11/100)</f>
        <v/>
      </c>
      <c r="I11">
        <f>D11*E11</f>
        <v/>
      </c>
      <c r="J11">
        <f>D11*H11</f>
        <v/>
      </c>
    </row>
    <row r="12">
      <c r="A12" t="inlineStr">
        <is>
          <t>Pack A</t>
        </is>
      </c>
      <c r="B12" t="inlineStr">
        <is>
          <t>Power</t>
        </is>
      </c>
      <c r="C12" t="inlineStr">
        <is>
          <t>INA260 (V/I Monitor)</t>
        </is>
      </c>
      <c r="D12" t="n">
        <v>3.3</v>
      </c>
      <c r="E12" t="n">
        <v>1.5</v>
      </c>
      <c r="F12" t="n">
        <v>0.01</v>
      </c>
      <c r="G12" t="n">
        <v>100</v>
      </c>
      <c r="H12">
        <f>E12*(G12/100)+F12*(1-G12/100)</f>
        <v/>
      </c>
      <c r="I12">
        <f>D12*E12</f>
        <v/>
      </c>
      <c r="J12">
        <f>D12*H12</f>
        <v/>
      </c>
    </row>
    <row r="13">
      <c r="A13" t="inlineStr">
        <is>
          <t>Pack A</t>
        </is>
      </c>
      <c r="B13" t="inlineStr">
        <is>
          <t>Power</t>
        </is>
      </c>
      <c r="C13" t="inlineStr">
        <is>
          <t>MAX17048 (Fuel Gauge)</t>
        </is>
      </c>
      <c r="D13" t="n">
        <v>3.3</v>
      </c>
      <c r="E13" t="n">
        <v>0.02</v>
      </c>
      <c r="F13" t="n">
        <v>0.001</v>
      </c>
      <c r="G13" t="n">
        <v>100</v>
      </c>
      <c r="H13">
        <f>E13*(G13/100)+F13*(1-G13/100)</f>
        <v/>
      </c>
      <c r="I13">
        <f>D13*E13</f>
        <v/>
      </c>
      <c r="J13">
        <f>D13*H13</f>
        <v/>
      </c>
    </row>
    <row r="14">
      <c r="A14" t="inlineStr">
        <is>
          <t>Pack B</t>
        </is>
      </c>
      <c r="B14" t="inlineStr">
        <is>
          <t>Drone</t>
        </is>
      </c>
      <c r="C14" t="inlineStr">
        <is>
          <t>BLDC Motors (Hover)</t>
        </is>
      </c>
      <c r="D14" t="n">
        <v>7.4</v>
      </c>
      <c r="E14" t="n">
        <v>4000</v>
      </c>
      <c r="F14" t="n">
        <v>0</v>
      </c>
      <c r="G14" t="n">
        <v>20</v>
      </c>
      <c r="H14">
        <f>E14*(G14/100)+F14*(1-G14/100)</f>
        <v/>
      </c>
      <c r="I14">
        <f>D14*E14</f>
        <v/>
      </c>
      <c r="J14">
        <f>D14*H14</f>
        <v/>
      </c>
    </row>
    <row r="15">
      <c r="A15" t="inlineStr">
        <is>
          <t>Pack B</t>
        </is>
      </c>
      <c r="B15" t="inlineStr">
        <is>
          <t>Drone</t>
        </is>
      </c>
      <c r="C15" t="inlineStr">
        <is>
          <t>Deployment Servo</t>
        </is>
      </c>
      <c r="D15" t="n">
        <v>5</v>
      </c>
      <c r="E15" t="n">
        <v>500</v>
      </c>
      <c r="F15" t="n">
        <v>5</v>
      </c>
      <c r="G15" t="n">
        <v>1</v>
      </c>
      <c r="H15">
        <f>E15*(G15/100)+F15*(1-G15/100)</f>
        <v/>
      </c>
      <c r="I15">
        <f>D15*E15</f>
        <v/>
      </c>
      <c r="J15">
        <f>D15*H15</f>
        <v/>
      </c>
    </row>
    <row r="16">
      <c r="A16" t="inlineStr">
        <is>
          <t>Pack B</t>
        </is>
      </c>
      <c r="B16" t="inlineStr">
        <is>
          <t>Gyro</t>
        </is>
      </c>
      <c r="C16" t="inlineStr">
        <is>
          <t>Flywheel Motor</t>
        </is>
      </c>
      <c r="D16" t="n">
        <v>7.4</v>
      </c>
      <c r="E16" t="n">
        <v>500</v>
      </c>
      <c r="F16" t="n">
        <v>0</v>
      </c>
      <c r="G16" t="n">
        <v>100</v>
      </c>
      <c r="H16">
        <f>E16*(G16/100)+F16*(1-G16/100)</f>
        <v/>
      </c>
      <c r="I16">
        <f>D16*E16</f>
        <v/>
      </c>
      <c r="J16">
        <f>D16*H16</f>
        <v/>
      </c>
    </row>
    <row r="17"/>
    <row r="18">
      <c r="A18" s="2" t="inlineStr">
        <is>
          <t>--- PACK A (AVIONICS) SUMMARY ---</t>
        </is>
      </c>
    </row>
    <row r="19">
      <c r="A19" s="2" t="inlineStr">
        <is>
          <t>Pack A Total Peak Power (mW):</t>
        </is>
      </c>
      <c r="B19" s="2">
        <f>SUMIF(A2:A16, "Pack A", I2:I16)</f>
        <v/>
      </c>
    </row>
    <row r="20">
      <c r="A20" s="2" t="inlineStr">
        <is>
          <t>Pack A Total Avg Power (mW):</t>
        </is>
      </c>
      <c r="B20" s="2">
        <f>SUMIF(A2:A16, "Pack A", J2:J16)</f>
        <v/>
      </c>
    </row>
    <row r="21">
      <c r="A21" s="2" t="inlineStr">
        <is>
          <t>Pack A Battery Capacity (mAh):</t>
        </is>
      </c>
      <c r="B21" t="n">
        <v>3400</v>
      </c>
    </row>
    <row r="22">
      <c r="A22" s="2" t="inlineStr">
        <is>
          <t>Pack A Battery Voltage (V):</t>
        </is>
      </c>
      <c r="B22" t="n">
        <v>7.4</v>
      </c>
    </row>
    <row r="23">
      <c r="A23" s="2" t="inlineStr">
        <is>
          <t>Pack A Total Energy (mWh):</t>
        </is>
      </c>
      <c r="B23">
        <f>B21*B22</f>
        <v/>
      </c>
    </row>
    <row r="24">
      <c r="A24" s="2" t="inlineStr">
        <is>
          <t>Pack A Flight Endurance (Hours):</t>
        </is>
      </c>
      <c r="B24" s="3">
        <f>B23/B20</f>
        <v/>
      </c>
    </row>
    <row r="25"/>
    <row r="26">
      <c r="A26" s="2" t="inlineStr">
        <is>
          <t>--- PACK B (DRONE) SUMMARY ---</t>
        </is>
      </c>
    </row>
    <row r="27">
      <c r="A27" s="2" t="inlineStr">
        <is>
          <t>Pack B Total Peak Power (mW):</t>
        </is>
      </c>
      <c r="B27" s="2">
        <f>SUMIF(A2:A16, "Pack B", I2:I16)</f>
        <v/>
      </c>
    </row>
    <row r="28">
      <c r="A28" s="2" t="inlineStr">
        <is>
          <t>Pack B Total Avg Power (mW):</t>
        </is>
      </c>
      <c r="B28" s="2">
        <f>SUMIF(A2:A16, "Pack B", J2:J16)</f>
        <v/>
      </c>
    </row>
    <row r="29">
      <c r="A29" s="2" t="inlineStr">
        <is>
          <t>Pack B Battery Capacity (mAh):</t>
        </is>
      </c>
      <c r="B29" t="n">
        <v>3400</v>
      </c>
    </row>
    <row r="30">
      <c r="A30" s="2" t="inlineStr">
        <is>
          <t>Pack B Battery Voltage (V):</t>
        </is>
      </c>
      <c r="B30" t="n">
        <v>7.4</v>
      </c>
    </row>
    <row r="31">
      <c r="A31" s="2" t="inlineStr">
        <is>
          <t>Pack B Total Energy (mWh):</t>
        </is>
      </c>
      <c r="B31">
        <f>B29*B30</f>
        <v/>
      </c>
    </row>
    <row r="32">
      <c r="A32" s="2" t="inlineStr">
        <is>
          <t>Pack B Flight Endurance (Hours):</t>
        </is>
      </c>
      <c r="B32" s="3">
        <f>B31/B28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2026-07-20T10:53:43Z</dcterms:created>
  <dcterms:modified xmlns:dcterms="http://purl.org/dc/terms/" xmlns:xsi="http://www.w3.org/2001/XMLSchema-instance" xsi:type="dcterms:W3CDTF">2026-07-20T10:53:43Z</dcterms:modified>
</cp:coreProperties>
</file>